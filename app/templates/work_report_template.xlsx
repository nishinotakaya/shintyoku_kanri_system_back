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務報告（西野）_3月" sheetId="1" r:id="rId5"/>
    <sheet state="visible" name="業務報告（予備）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日付は毎月変更してください。
例：2月1日→"2/1"と入力</t>
      </text>
    </comment>
  </commentList>
</comments>
</file>

<file path=xl/sharedStrings.xml><?xml version="1.0" encoding="utf-8"?>
<sst xmlns="http://schemas.openxmlformats.org/spreadsheetml/2006/main" count="42" uniqueCount="30">
  <si>
    <t>氏名</t>
  </si>
  <si>
    <t>西野 鷹也</t>
  </si>
  <si>
    <t>日付</t>
  </si>
  <si>
    <t>作業内容</t>
  </si>
  <si>
    <t>時間</t>
  </si>
  <si>
    <t>乗車区間</t>
  </si>
  <si>
    <t>交通費
（10％込）</t>
  </si>
  <si>
    <t>障害対応_文字化け修正(1)</t>
  </si>
  <si>
    <t>SAP-3838(2)/SAP-3453(1)/SAP-3730(3)</t>
  </si>
  <si>
    <t>SAP-3838(2)/SAP-3453(1)/SAP-3730(3)/夜間リリース作業</t>
  </si>
  <si>
    <t>六実 ~ 品川</t>
  </si>
  <si>
    <t>SAP-3838(7)/夜間リリース(3)</t>
  </si>
  <si>
    <t>SAP-3838(1)/SAP-3730(6)</t>
  </si>
  <si>
    <t>SAP-3730(6)/経費購買:テスト(2)</t>
  </si>
  <si>
    <t>SAP-3848(7)/SAP-3864_リリーステスト(2)/経費購買:テスト(3)</t>
  </si>
  <si>
    <t>SAP-3864(8)/夜間リリース(1)</t>
  </si>
  <si>
    <t>SAP-3864(6)/ubuntuスケジュール作成(2)/家歴移行(1)</t>
  </si>
  <si>
    <t>SAP-3653(6)/SAP-3864(1)/経費購買:テスト(3)</t>
  </si>
  <si>
    <t>SAP-3653(7)/経費購買:テスト(2)</t>
  </si>
  <si>
    <t>SAP-3654(7)/リリース/経費購買:テスト(2)</t>
  </si>
  <si>
    <t>SAP-3654(7)/リリース/経費購買:テスト(2)/SAP-3654(3)</t>
  </si>
  <si>
    <t>SAP-3653(1)/SAP-3861(3) /ドキュメント作成(2)/家歴移行(2)</t>
  </si>
  <si>
    <t>SAP-3653(1)/SAP-3861(2) /家歴ドキュメント作成(2)/家歴移行(2)</t>
  </si>
  <si>
    <t>SAP-3864(3)/JTM-810(3)/JTM-814(2)/家歴移行(1)</t>
  </si>
  <si>
    <t>SAP-3864(6)/家歴移行(3)</t>
  </si>
  <si>
    <t>SAP-3864(6)/家歴移行(2)</t>
  </si>
  <si>
    <t>合計時間</t>
  </si>
  <si>
    <t>合計金額
（10％込）</t>
  </si>
  <si>
    <t>曜</t>
  </si>
  <si>
    <t>合計
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</si>
</sst>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年m月"/>
    <numFmt numFmtId="165" formatCode="m/d"/>
    <numFmt numFmtId="166" formatCode="0&quot;日&quot;"/>
    <numFmt numFmtId="167" formatCode="0.00&quot;h&quot;"/>
    <numFmt numFmtId="168" formatCode="yyyy&quot;年&quot;m&quot;月&quot;"/>
    <numFmt numFmtId="169" formatCode="yyyy&quot;年&quot;m&quot;月&quot;d&quot;日&quot;"/>
    <numFmt numFmtId="170" formatCode="0.0_);[Red]\(0.0\)"/>
    <numFmt numFmtId="171" formatCode="m"/>
    <numFmt numFmtId="172" formatCode="d"/>
    <numFmt numFmtId="173" formatCode="aaa"/>
    <numFmt numFmtId="174" formatCode="yyyy/mm/dd"/>
    <numFmt numFmtId="175" formatCode="[$-F400]h:mm:ss\ AM/PM"/>
    <numFmt numFmtId="176" formatCode="0.00_);[Red]\(0.00\)"/>
  </numFmts>
  <fonts count="20">
    <font>
      <sz val="11.0"/>
      <color rgb="FF000000"/>
      <name val="Calibri"/>
      <scheme val="minor"/>
    </font>
    <font>
      <b/>
      <u/>
      <sz val="12.0"/>
      <color theme="1"/>
      <name val="ＭＳ ゴシック"/>
    </font>
    <font>
      <sz val="10.0"/>
      <color theme="1"/>
      <name val="ＭＳ ゴシック"/>
    </font>
    <font>
      <sz val="11.0"/>
      <color theme="1"/>
      <name val="MS PGothic"/>
    </font>
    <font>
      <b/>
      <sz val="10.0"/>
      <color theme="1"/>
      <name val="ＭＳ ゴシック"/>
    </font>
    <font/>
    <font>
      <b/>
      <sz val="9.0"/>
      <color theme="1"/>
      <name val="MS PGothic"/>
    </font>
    <font>
      <sz val="11.0"/>
      <color rgb="FF222222"/>
      <name val="Open Sans"/>
    </font>
    <font>
      <sz val="10.0"/>
      <color theme="1"/>
      <name val="MS PGothic"/>
    </font>
    <font>
      <sz val="11.0"/>
      <color theme="1"/>
      <name val="ＭＳ ゴシック"/>
    </font>
    <font>
      <color theme="1"/>
      <name val="MS PGothic"/>
    </font>
    <font>
      <sz val="11.0"/>
      <color rgb="FF000000"/>
      <name val="ＭＳ ゴシック"/>
    </font>
    <font>
      <sz val="10.0"/>
      <color rgb="FF000000"/>
      <name val="ＭＳ ゴシック"/>
    </font>
    <font>
      <b/>
      <sz val="9.0"/>
      <color theme="1"/>
      <name val="ＭＳ ゴシック"/>
    </font>
    <font>
      <b/>
      <sz val="10.0"/>
      <color theme="1"/>
      <name val="MS PGothic"/>
    </font>
    <font>
      <b/>
      <sz val="12.0"/>
      <color theme="1"/>
      <name val="ＭＳ ゴシック"/>
    </font>
    <font>
      <b/>
      <u/>
      <sz val="12.0"/>
      <color theme="1"/>
      <name val="ＭＳ ゴシック"/>
    </font>
    <font>
      <b/>
      <sz val="11.0"/>
      <color rgb="FFFF0000"/>
      <name val="MS PGothic"/>
    </font>
    <font>
      <sz val="9.0"/>
      <color theme="1"/>
      <name val="MS PGothic"/>
    </font>
    <font>
      <sz val="10.0"/>
      <color theme="1"/>
      <name val="MS Minch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2" fillId="0" fontId="5" numFmtId="0" xfId="0" applyBorder="1" applyFont="1"/>
    <xf borderId="1" fillId="0" fontId="2" numFmtId="0" xfId="0" applyAlignment="1" applyBorder="1" applyFont="1">
      <alignment horizontal="center" vertical="center"/>
    </xf>
    <xf borderId="3" fillId="0" fontId="5" numFmtId="0" xfId="0" applyBorder="1" applyFont="1"/>
    <xf borderId="1" fillId="0" fontId="4" numFmtId="20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 vertical="center"/>
    </xf>
    <xf borderId="5" fillId="2" fontId="7" numFmtId="49" xfId="0" applyAlignment="1" applyBorder="1" applyFill="1" applyFont="1" applyNumberFormat="1">
      <alignment readingOrder="0"/>
    </xf>
    <xf borderId="5" fillId="0" fontId="5" numFmtId="0" xfId="0" applyBorder="1" applyFont="1"/>
    <xf borderId="6" fillId="0" fontId="5" numFmtId="0" xfId="0" applyBorder="1" applyFont="1"/>
    <xf borderId="1" fillId="0" fontId="2" numFmtId="2" xfId="0" applyAlignment="1" applyBorder="1" applyFont="1" applyNumberFormat="1">
      <alignment readingOrder="0" vertical="center"/>
    </xf>
    <xf borderId="4" fillId="0" fontId="3" numFmtId="0" xfId="0" applyAlignment="1" applyBorder="1" applyFont="1">
      <alignment vertical="bottom"/>
    </xf>
    <xf borderId="4" fillId="0" fontId="3" numFmtId="3" xfId="0" applyAlignment="1" applyBorder="1" applyFont="1" applyNumberFormat="1">
      <alignment horizontal="right" vertical="bottom"/>
    </xf>
    <xf borderId="4" fillId="0" fontId="8" numFmtId="3" xfId="0" applyAlignment="1" applyBorder="1" applyFont="1" applyNumberFormat="1">
      <alignment horizontal="right" readingOrder="0" vertical="center"/>
    </xf>
    <xf borderId="4" fillId="0" fontId="3" numFmtId="0" xfId="0" applyAlignment="1" applyBorder="1" applyFont="1">
      <alignment readingOrder="0" vertical="bottom"/>
    </xf>
    <xf borderId="4" fillId="0" fontId="3" numFmtId="3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readingOrder="0"/>
    </xf>
    <xf borderId="4" fillId="0" fontId="10" numFmtId="3" xfId="0" applyAlignment="1" applyBorder="1" applyFont="1" applyNumberFormat="1">
      <alignment horizontal="right" readingOrder="0"/>
    </xf>
    <xf borderId="4" fillId="0" fontId="10" numFmtId="3" xfId="0" applyAlignment="1" applyBorder="1" applyFont="1" applyNumberFormat="1">
      <alignment horizontal="right"/>
    </xf>
    <xf borderId="1" fillId="0" fontId="11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vertical="bottom"/>
    </xf>
    <xf borderId="4" fillId="0" fontId="3" numFmtId="0" xfId="0" applyBorder="1" applyFont="1"/>
    <xf borderId="4" fillId="0" fontId="8" numFmtId="3" xfId="0" applyAlignment="1" applyBorder="1" applyFont="1" applyNumberFormat="1">
      <alignment horizontal="right" vertical="center"/>
    </xf>
    <xf borderId="7" fillId="0" fontId="2" numFmtId="165" xfId="0" applyAlignment="1" applyBorder="1" applyFont="1" applyNumberFormat="1">
      <alignment vertical="center"/>
    </xf>
    <xf borderId="8" fillId="0" fontId="12" numFmtId="0" xfId="0" applyAlignment="1" applyBorder="1" applyFont="1">
      <alignment shrinkToFit="1" vertical="center" wrapText="0"/>
    </xf>
    <xf borderId="1" fillId="0" fontId="2" numFmtId="2" xfId="0" applyAlignment="1" applyBorder="1" applyFont="1" applyNumberFormat="1">
      <alignment vertical="center"/>
    </xf>
    <xf borderId="2" fillId="0" fontId="2" numFmtId="2" xfId="0" applyAlignment="1" applyBorder="1" applyFont="1" applyNumberFormat="1">
      <alignment vertical="center"/>
    </xf>
    <xf borderId="2" fillId="0" fontId="2" numFmtId="0" xfId="0" applyAlignment="1" applyBorder="1" applyFont="1">
      <alignment horizontal="left" shrinkToFit="1" vertical="center" wrapText="0"/>
    </xf>
    <xf borderId="7" fillId="0" fontId="2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vertical="center"/>
    </xf>
    <xf borderId="9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center" vertical="center"/>
    </xf>
    <xf borderId="4" fillId="0" fontId="14" numFmtId="3" xfId="0" applyAlignment="1" applyBorder="1" applyFont="1" applyNumberFormat="1">
      <alignment horizontal="center" vertical="center"/>
    </xf>
    <xf borderId="10" fillId="0" fontId="2" numFmtId="166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0" fontId="2" numFmtId="166" xfId="0" applyAlignment="1" applyBorder="1" applyFont="1" applyNumberFormat="1">
      <alignment horizontal="center" vertical="center"/>
    </xf>
    <xf borderId="5" fillId="0" fontId="2" numFmtId="167" xfId="0" applyAlignment="1" applyBorder="1" applyFont="1" applyNumberFormat="1">
      <alignment vertical="center"/>
    </xf>
    <xf borderId="5" fillId="0" fontId="13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3" fillId="0" fontId="2" numFmtId="167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left" vertical="center"/>
    </xf>
    <xf borderId="0" fillId="0" fontId="3" numFmtId="0" xfId="0" applyFont="1"/>
    <xf borderId="0" fillId="0" fontId="15" numFmtId="0" xfId="0" applyAlignment="1" applyFont="1">
      <alignment vertical="center"/>
    </xf>
    <xf borderId="0" fillId="0" fontId="16" numFmtId="168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2" numFmtId="169" xfId="0" applyAlignment="1" applyFont="1" applyNumberForma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2" numFmtId="2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5" numFmtId="0" xfId="0" applyBorder="1" applyFont="1"/>
    <xf borderId="0" fillId="0" fontId="2" numFmtId="170" xfId="0" applyAlignment="1" applyFont="1" applyNumberFormat="1">
      <alignment horizontal="center" vertical="center"/>
    </xf>
    <xf borderId="11" fillId="0" fontId="2" numFmtId="171" xfId="0" applyAlignment="1" applyBorder="1" applyFont="1" applyNumberFormat="1">
      <alignment vertical="center"/>
    </xf>
    <xf borderId="11" fillId="0" fontId="19" numFmtId="172" xfId="0" applyAlignment="1" applyBorder="1" applyFont="1" applyNumberFormat="1">
      <alignment vertical="center"/>
    </xf>
    <xf borderId="11" fillId="0" fontId="19" numFmtId="173" xfId="0" applyAlignment="1" applyBorder="1" applyFont="1" applyNumberFormat="1">
      <alignment horizontal="center" vertical="center"/>
    </xf>
    <xf borderId="12" fillId="0" fontId="2" numFmtId="174" xfId="0" applyAlignment="1" applyBorder="1" applyFont="1" applyNumberFormat="1">
      <alignment horizontal="center" vertical="center"/>
    </xf>
    <xf borderId="12" fillId="0" fontId="5" numFmtId="0" xfId="0" applyBorder="1" applyFont="1"/>
    <xf borderId="13" fillId="0" fontId="2" numFmtId="2" xfId="0" applyAlignment="1" applyBorder="1" applyFont="1" applyNumberFormat="1">
      <alignment vertical="center"/>
    </xf>
    <xf borderId="14" fillId="0" fontId="5" numFmtId="0" xfId="0" applyBorder="1" applyFont="1"/>
    <xf borderId="0" fillId="0" fontId="2" numFmtId="174" xfId="0" applyAlignment="1" applyFont="1" applyNumberFormat="1">
      <alignment vertical="center"/>
    </xf>
    <xf borderId="0" fillId="0" fontId="2" numFmtId="18" xfId="0" applyAlignment="1" applyFont="1" applyNumberFormat="1">
      <alignment vertical="center"/>
    </xf>
    <xf borderId="0" fillId="0" fontId="2" numFmtId="175" xfId="0" applyAlignment="1" applyFont="1" applyNumberFormat="1">
      <alignment vertical="center"/>
    </xf>
    <xf borderId="15" fillId="3" fontId="2" numFmtId="176" xfId="0" applyAlignment="1" applyBorder="1" applyFill="1" applyFont="1" applyNumberFormat="1">
      <alignment vertical="center"/>
    </xf>
    <xf borderId="16" fillId="0" fontId="2" numFmtId="0" xfId="0" applyAlignment="1" applyBorder="1" applyFont="1">
      <alignment vertical="center"/>
    </xf>
    <xf borderId="16" fillId="0" fontId="19" numFmtId="172" xfId="0" applyAlignment="1" applyBorder="1" applyFont="1" applyNumberFormat="1">
      <alignment vertical="center"/>
    </xf>
    <xf borderId="16" fillId="0" fontId="19" numFmtId="173" xfId="0" applyAlignment="1" applyBorder="1" applyFont="1" applyNumberFormat="1">
      <alignment horizontal="center" vertical="center"/>
    </xf>
    <xf borderId="17" fillId="0" fontId="2" numFmtId="174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2" numFmtId="2" xfId="0" applyAlignment="1" applyBorder="1" applyFont="1" applyNumberFormat="1">
      <alignment vertical="center"/>
    </xf>
    <xf borderId="19" fillId="0" fontId="5" numFmtId="0" xfId="0" applyBorder="1" applyFont="1"/>
    <xf borderId="20" fillId="0" fontId="2" numFmtId="0" xfId="0" applyAlignment="1" applyBorder="1" applyFont="1">
      <alignment vertical="center"/>
    </xf>
    <xf borderId="20" fillId="0" fontId="19" numFmtId="172" xfId="0" applyAlignment="1" applyBorder="1" applyFont="1" applyNumberFormat="1">
      <alignment vertical="center"/>
    </xf>
    <xf borderId="20" fillId="0" fontId="19" numFmtId="173" xfId="0" applyAlignment="1" applyBorder="1" applyFont="1" applyNumberFormat="1">
      <alignment horizontal="center" vertical="center"/>
    </xf>
    <xf borderId="21" fillId="0" fontId="2" numFmtId="174" xfId="0" applyAlignment="1" applyBorder="1" applyFont="1" applyNumberFormat="1">
      <alignment horizontal="center" vertical="center"/>
    </xf>
    <xf borderId="21" fillId="0" fontId="5" numFmtId="0" xfId="0" applyBorder="1" applyFont="1"/>
    <xf borderId="22" fillId="0" fontId="2" numFmtId="2" xfId="0" applyAlignment="1" applyBorder="1" applyFont="1" applyNumberFormat="1">
      <alignment vertical="center"/>
    </xf>
    <xf borderId="23" fillId="0" fontId="5" numFmtId="0" xfId="0" applyBorder="1" applyFont="1"/>
    <xf borderId="0" fillId="0" fontId="1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horizontal="center" vertical="center"/>
    </xf>
    <xf borderId="0" fillId="0" fontId="2" numFmtId="167" xfId="0" applyAlignment="1" applyFont="1" applyNumberFormat="1">
      <alignment vertical="center"/>
    </xf>
    <xf borderId="1" fillId="0" fontId="2" numFmtId="167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left" shrinkToFit="0" vertical="center" wrapText="1"/>
    </xf>
    <xf borderId="9" fillId="0" fontId="5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2" width="2.86"/>
    <col customWidth="1" min="23" max="23" width="9.57"/>
    <col customWidth="1" min="24" max="25" width="4.14"/>
    <col customWidth="1" min="26" max="26" width="37.0"/>
    <col customWidth="1" min="27" max="27" width="19.0"/>
  </cols>
  <sheetData>
    <row r="1" ht="24.0" customHeight="1">
      <c r="A1" s="1">
        <v>46082.0</v>
      </c>
    </row>
    <row r="2" ht="13.5" customHeight="1"/>
    <row r="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V3" s="3"/>
      <c r="W3" s="4"/>
      <c r="X3" s="3"/>
      <c r="Y3" s="3"/>
      <c r="Z3" s="3"/>
      <c r="AA3" s="3"/>
    </row>
    <row r="4" ht="25.5" customHeight="1">
      <c r="A4" s="5" t="s">
        <v>0</v>
      </c>
      <c r="B4" s="6"/>
      <c r="C4" s="7" t="s">
        <v>1</v>
      </c>
      <c r="D4" s="8"/>
      <c r="E4" s="8"/>
      <c r="F4" s="8"/>
      <c r="G4" s="8"/>
      <c r="H4" s="8"/>
      <c r="I4" s="6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/>
      <c r="AA5" s="3"/>
    </row>
    <row r="6" ht="25.5" customHeight="1">
      <c r="A6" s="5" t="s">
        <v>2</v>
      </c>
      <c r="B6" s="6"/>
      <c r="C6" s="5" t="s"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6"/>
      <c r="X6" s="9" t="s">
        <v>4</v>
      </c>
      <c r="Y6" s="6"/>
      <c r="Z6" s="10" t="s">
        <v>5</v>
      </c>
      <c r="AA6" s="11" t="s">
        <v>6</v>
      </c>
    </row>
    <row r="7" ht="25.5" customHeight="1">
      <c r="A7" s="12">
        <v>46079.0</v>
      </c>
      <c r="B7" s="6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6"/>
      <c r="Y7" s="6"/>
      <c r="Z7" s="17"/>
      <c r="AA7" s="18"/>
    </row>
    <row r="8" ht="23.25" customHeight="1">
      <c r="A8" s="12">
        <v>46080.0</v>
      </c>
      <c r="B8" s="6"/>
      <c r="C8" s="13" t="s">
        <v>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  <c r="X8" s="16">
        <v>1.0</v>
      </c>
      <c r="Y8" s="6"/>
      <c r="Z8" s="17"/>
      <c r="AA8" s="19"/>
    </row>
    <row r="9" ht="28.5" customHeight="1">
      <c r="A9" s="12">
        <v>46081.0</v>
      </c>
      <c r="B9" s="6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6"/>
      <c r="Y9" s="6"/>
      <c r="Z9" s="17"/>
      <c r="AA9" s="19"/>
    </row>
    <row r="10" ht="24.75" customHeight="1">
      <c r="A10" s="12">
        <v>46082.0</v>
      </c>
      <c r="B10" s="6"/>
      <c r="C10" s="13" t="s">
        <v>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6">
        <v>7.5</v>
      </c>
      <c r="Y10" s="6"/>
      <c r="Z10" s="17"/>
      <c r="AA10" s="18"/>
    </row>
    <row r="11" ht="23.25" customHeight="1">
      <c r="A11" s="12">
        <v>46083.0</v>
      </c>
      <c r="B11" s="6"/>
      <c r="C11" s="13" t="s">
        <v>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/>
      <c r="X11" s="16">
        <v>7.5</v>
      </c>
      <c r="Y11" s="6"/>
      <c r="Z11" s="17"/>
      <c r="AA11" s="19"/>
    </row>
    <row r="12" ht="22.5" customHeight="1">
      <c r="A12" s="12">
        <v>46084.0</v>
      </c>
      <c r="B12" s="6"/>
      <c r="C12" s="13" t="s">
        <v>9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/>
      <c r="X12" s="16">
        <v>9.5</v>
      </c>
      <c r="Y12" s="6"/>
      <c r="Z12" s="20" t="s">
        <v>10</v>
      </c>
      <c r="AA12" s="19">
        <v>1488.0</v>
      </c>
    </row>
    <row r="13" ht="23.25" customHeight="1">
      <c r="A13" s="12">
        <v>46085.0</v>
      </c>
      <c r="B13" s="6"/>
      <c r="C13" s="13" t="s">
        <v>11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/>
      <c r="X13" s="16">
        <v>9.0</v>
      </c>
      <c r="Y13" s="6"/>
      <c r="Z13" s="17"/>
      <c r="AA13" s="18"/>
    </row>
    <row r="14" ht="22.5" customHeight="1">
      <c r="A14" s="12">
        <v>46086.0</v>
      </c>
      <c r="B14" s="6"/>
      <c r="C14" s="13" t="s">
        <v>12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/>
      <c r="X14" s="16">
        <v>7.5</v>
      </c>
      <c r="Y14" s="6"/>
      <c r="Z14" s="20" t="s">
        <v>10</v>
      </c>
      <c r="AA14" s="21">
        <v>1488.0</v>
      </c>
    </row>
    <row r="15" ht="24.75" customHeight="1">
      <c r="A15" s="12">
        <v>46087.0</v>
      </c>
      <c r="B15" s="6"/>
      <c r="C15" s="13" t="s">
        <v>13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/>
      <c r="X15" s="16">
        <v>9.5</v>
      </c>
      <c r="Y15" s="6"/>
      <c r="Z15" s="17"/>
      <c r="AA15" s="19"/>
    </row>
    <row r="16" ht="28.5" customHeight="1">
      <c r="A16" s="12">
        <v>46088.0</v>
      </c>
      <c r="B16" s="6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5"/>
      <c r="X16" s="16"/>
      <c r="Y16" s="6"/>
      <c r="Z16" s="17"/>
      <c r="AA16" s="19"/>
    </row>
    <row r="17" ht="27.75" customHeight="1">
      <c r="A17" s="12">
        <v>46089.0</v>
      </c>
      <c r="B17" s="6"/>
      <c r="C17" s="2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6"/>
      <c r="X17" s="16"/>
      <c r="Y17" s="6"/>
      <c r="Z17" s="17"/>
      <c r="AA17" s="18"/>
    </row>
    <row r="18" ht="24.0" customHeight="1">
      <c r="A18" s="12">
        <v>46090.0</v>
      </c>
      <c r="B18" s="6"/>
      <c r="C18" s="22" t="s">
        <v>14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6"/>
      <c r="X18" s="16">
        <v>9.5</v>
      </c>
      <c r="Y18" s="6"/>
      <c r="Z18" s="17"/>
      <c r="AA18" s="19"/>
    </row>
    <row r="19" ht="22.5" customHeight="1">
      <c r="A19" s="12">
        <v>46091.0</v>
      </c>
      <c r="B19" s="6"/>
      <c r="C19" s="22" t="s">
        <v>15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6"/>
      <c r="X19" s="16">
        <v>9.5</v>
      </c>
      <c r="Y19" s="6"/>
      <c r="Z19" s="20" t="s">
        <v>10</v>
      </c>
      <c r="AA19" s="19">
        <v>1488.0</v>
      </c>
    </row>
    <row r="20" ht="23.25" customHeight="1">
      <c r="A20" s="12">
        <v>46092.0</v>
      </c>
      <c r="B20" s="6"/>
      <c r="C20" s="22" t="s">
        <v>16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6"/>
      <c r="X20" s="16">
        <v>9.0</v>
      </c>
      <c r="Y20" s="6"/>
      <c r="Z20" s="20"/>
      <c r="AA20" s="23"/>
    </row>
    <row r="21" ht="23.25" customHeight="1">
      <c r="A21" s="12">
        <v>46093.0</v>
      </c>
      <c r="B21" s="6"/>
      <c r="C21" s="22" t="s">
        <v>17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6"/>
      <c r="X21" s="16">
        <v>9.0</v>
      </c>
      <c r="Y21" s="6"/>
      <c r="Z21" s="20" t="s">
        <v>10</v>
      </c>
      <c r="AA21" s="21">
        <v>1488.0</v>
      </c>
    </row>
    <row r="22" ht="23.25" customHeight="1">
      <c r="A22" s="12">
        <v>46094.0</v>
      </c>
      <c r="B22" s="6"/>
      <c r="C22" s="22" t="s">
        <v>18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6"/>
      <c r="X22" s="16">
        <v>9.5</v>
      </c>
      <c r="Y22" s="6"/>
      <c r="Z22" s="20"/>
      <c r="AA22" s="19"/>
    </row>
    <row r="23" ht="23.25" customHeight="1">
      <c r="A23" s="12">
        <v>46095.0</v>
      </c>
      <c r="B23" s="6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6"/>
      <c r="X23" s="16"/>
      <c r="Y23" s="6"/>
      <c r="Z23" s="17"/>
      <c r="AA23" s="19"/>
    </row>
    <row r="24" ht="23.25" customHeight="1">
      <c r="A24" s="12">
        <v>46096.0</v>
      </c>
      <c r="B24" s="6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6"/>
      <c r="X24" s="16"/>
      <c r="Y24" s="6"/>
      <c r="Z24" s="17"/>
      <c r="AA24" s="18"/>
    </row>
    <row r="25" ht="23.25" customHeight="1">
      <c r="A25" s="12">
        <v>46097.0</v>
      </c>
      <c r="B25" s="6"/>
      <c r="C25" s="22" t="s">
        <v>19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6"/>
      <c r="X25" s="16">
        <v>9.5</v>
      </c>
      <c r="Y25" s="6"/>
      <c r="Z25" s="20" t="s">
        <v>10</v>
      </c>
      <c r="AA25" s="19">
        <v>1488.0</v>
      </c>
    </row>
    <row r="26" ht="23.25" customHeight="1">
      <c r="A26" s="12">
        <v>46098.0</v>
      </c>
      <c r="B26" s="6"/>
      <c r="C26" s="22" t="s">
        <v>20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6"/>
      <c r="X26" s="16">
        <v>9.5</v>
      </c>
      <c r="Y26" s="6"/>
      <c r="Z26" s="20" t="s">
        <v>10</v>
      </c>
      <c r="AA26" s="19">
        <v>1488.0</v>
      </c>
    </row>
    <row r="27" ht="23.25" customHeight="1">
      <c r="A27" s="12">
        <v>46099.0</v>
      </c>
      <c r="B27" s="6"/>
      <c r="C27" s="22" t="s">
        <v>21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6"/>
      <c r="X27" s="16">
        <v>8.5</v>
      </c>
      <c r="Y27" s="6"/>
      <c r="Z27" s="17"/>
      <c r="AA27" s="24"/>
    </row>
    <row r="28" ht="23.25" customHeight="1">
      <c r="A28" s="12">
        <v>46100.0</v>
      </c>
      <c r="B28" s="6"/>
      <c r="C28" s="22" t="s">
        <v>22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6"/>
      <c r="X28" s="16">
        <v>8.0</v>
      </c>
      <c r="Y28" s="6"/>
      <c r="Z28" s="20" t="s">
        <v>10</v>
      </c>
      <c r="AA28" s="21">
        <v>1488.0</v>
      </c>
    </row>
    <row r="29" ht="27.75" customHeight="1">
      <c r="A29" s="12">
        <v>46101.0</v>
      </c>
      <c r="B29" s="6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6"/>
      <c r="X29" s="16"/>
      <c r="Y29" s="6"/>
      <c r="Z29" s="17"/>
      <c r="AA29" s="19"/>
    </row>
    <row r="30" ht="23.25" customHeight="1">
      <c r="A30" s="12">
        <v>46102.0</v>
      </c>
      <c r="B30" s="6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6"/>
      <c r="X30" s="16"/>
      <c r="Y30" s="6"/>
      <c r="Z30" s="17"/>
      <c r="AA30" s="19"/>
    </row>
    <row r="31" ht="23.25" customHeight="1">
      <c r="A31" s="12">
        <v>46103.0</v>
      </c>
      <c r="B31" s="6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6"/>
      <c r="X31" s="16"/>
      <c r="Y31" s="6"/>
      <c r="Z31" s="26"/>
      <c r="AA31" s="18"/>
    </row>
    <row r="32" ht="23.25" customHeight="1">
      <c r="A32" s="12">
        <v>46104.0</v>
      </c>
      <c r="B32" s="6"/>
      <c r="C32" s="25" t="s">
        <v>23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6"/>
      <c r="X32" s="16">
        <v>7.5</v>
      </c>
      <c r="Y32" s="6"/>
      <c r="Z32" s="20" t="s">
        <v>10</v>
      </c>
      <c r="AA32" s="19">
        <v>1488.0</v>
      </c>
    </row>
    <row r="33" ht="23.25" customHeight="1">
      <c r="A33" s="12">
        <v>46105.0</v>
      </c>
      <c r="B33" s="6"/>
      <c r="C33" s="25" t="s">
        <v>24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6"/>
      <c r="X33" s="16">
        <v>8.5</v>
      </c>
      <c r="Y33" s="6"/>
      <c r="Z33" s="17"/>
      <c r="AA33" s="19"/>
    </row>
    <row r="34" ht="23.25" customHeight="1">
      <c r="A34" s="12">
        <v>46106.0</v>
      </c>
      <c r="B34" s="6"/>
      <c r="C34" s="25" t="s">
        <v>25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6"/>
      <c r="X34" s="16">
        <v>8.5</v>
      </c>
      <c r="Y34" s="6"/>
      <c r="Z34" s="20"/>
      <c r="AA34" s="23"/>
    </row>
    <row r="35" ht="24.75" customHeight="1">
      <c r="A35" s="12"/>
      <c r="B35" s="6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6"/>
      <c r="X35" s="16"/>
      <c r="Y35" s="6"/>
      <c r="Z35" s="17"/>
      <c r="AA35" s="24"/>
    </row>
    <row r="36" ht="22.5" customHeight="1">
      <c r="A36" s="12"/>
      <c r="B36" s="6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6"/>
      <c r="X36" s="16"/>
      <c r="Y36" s="6"/>
      <c r="Z36" s="26"/>
      <c r="AA36" s="18"/>
    </row>
    <row r="37" ht="22.5" customHeight="1">
      <c r="A37" s="12"/>
      <c r="B37" s="6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6"/>
      <c r="X37" s="16"/>
      <c r="Y37" s="6"/>
      <c r="Z37" s="27"/>
      <c r="AA37" s="28"/>
    </row>
    <row r="38" ht="19.5" customHeight="1">
      <c r="A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1"/>
      <c r="Y38" s="32"/>
      <c r="Z38" s="33"/>
      <c r="AA38" s="28"/>
    </row>
    <row r="39" ht="25.5" customHeight="1">
      <c r="A39" s="34"/>
      <c r="C39" s="2"/>
      <c r="D39" s="35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6"/>
      <c r="T39" s="36"/>
      <c r="U39" s="37"/>
      <c r="V39" s="37"/>
      <c r="W39" s="38"/>
      <c r="X39" s="39" t="s">
        <v>26</v>
      </c>
      <c r="Y39" s="15"/>
      <c r="Z39" s="40"/>
      <c r="AA39" s="41" t="s">
        <v>27</v>
      </c>
    </row>
    <row r="40" ht="24.75" customHeight="1">
      <c r="A40" s="42"/>
      <c r="B40" s="14"/>
      <c r="C40" s="43"/>
      <c r="D40" s="44"/>
      <c r="E40" s="45"/>
      <c r="F40" s="45"/>
      <c r="G40" s="46"/>
      <c r="H40" s="14"/>
      <c r="I40" s="47"/>
      <c r="J40" s="47"/>
      <c r="K40" s="47"/>
      <c r="L40" s="43"/>
      <c r="M40" s="43"/>
      <c r="N40" s="43"/>
      <c r="O40" s="43"/>
      <c r="P40" s="43"/>
      <c r="Q40" s="43"/>
      <c r="R40" s="43"/>
      <c r="S40" s="48"/>
      <c r="T40" s="48"/>
      <c r="U40" s="49"/>
      <c r="V40" s="49"/>
      <c r="W40" s="50"/>
      <c r="X40" s="51">
        <f>SUM(X7:Y38)</f>
        <v>158</v>
      </c>
      <c r="Y40" s="6"/>
      <c r="Z40" s="40"/>
      <c r="AA40" s="28">
        <f>SUM(AA7:AA38)</f>
        <v>11904</v>
      </c>
    </row>
    <row r="41" ht="13.5" customHeight="1">
      <c r="A41" s="52"/>
      <c r="Z41" s="2"/>
      <c r="AA41" s="53"/>
    </row>
    <row r="42" ht="13.5" customHeight="1">
      <c r="A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53"/>
    </row>
    <row r="43" ht="13.5" customHeight="1">
      <c r="A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</row>
    <row r="44" ht="13.5" customHeight="1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</row>
    <row r="45" ht="13.5" customHeight="1">
      <c r="A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</row>
    <row r="46" ht="13.5" customHeight="1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</row>
    <row r="47" ht="13.5" customHeight="1">
      <c r="A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</row>
    <row r="48" ht="13.5" customHeight="1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</row>
    <row r="49" ht="13.5" customHeight="1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</row>
    <row r="50" ht="13.5" customHeight="1">
      <c r="A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</row>
    <row r="51" ht="13.5" customHeight="1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</row>
    <row r="52" ht="13.5" customHeight="1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</row>
    <row r="53" ht="13.5" customHeight="1">
      <c r="A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</row>
    <row r="54" ht="13.5" customHeight="1">
      <c r="A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</row>
    <row r="55" ht="13.5" customHeight="1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</row>
    <row r="56" ht="13.5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3.5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3.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3.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3.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3.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3.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3.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3.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3.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3.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131">
    <mergeCell ref="C37:W37"/>
    <mergeCell ref="X37:Y37"/>
    <mergeCell ref="A35:B35"/>
    <mergeCell ref="C35:W35"/>
    <mergeCell ref="X35:Y35"/>
    <mergeCell ref="A36:B36"/>
    <mergeCell ref="C36:W36"/>
    <mergeCell ref="X36:Y36"/>
    <mergeCell ref="A37:B37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62:B62"/>
    <mergeCell ref="C7:W7"/>
    <mergeCell ref="X7:Y7"/>
    <mergeCell ref="A1:AA2"/>
    <mergeCell ref="A4:B4"/>
    <mergeCell ref="C4:I4"/>
    <mergeCell ref="A6:B6"/>
    <mergeCell ref="C6:W6"/>
    <mergeCell ref="X6:Y6"/>
    <mergeCell ref="A7:B7"/>
    <mergeCell ref="C13:W13"/>
    <mergeCell ref="X13:Y13"/>
    <mergeCell ref="A11:B11"/>
    <mergeCell ref="C11:W11"/>
    <mergeCell ref="X11:Y11"/>
    <mergeCell ref="A12:B12"/>
    <mergeCell ref="C12:W12"/>
    <mergeCell ref="X12:Y12"/>
    <mergeCell ref="A13:B13"/>
    <mergeCell ref="C33:W33"/>
    <mergeCell ref="C34:W34"/>
    <mergeCell ref="C27:W27"/>
    <mergeCell ref="A38:B38"/>
    <mergeCell ref="A39:B39"/>
    <mergeCell ref="X39:Y39"/>
    <mergeCell ref="A40:B40"/>
    <mergeCell ref="G40:H40"/>
    <mergeCell ref="X40:Y40"/>
    <mergeCell ref="A41:B41"/>
    <mergeCell ref="A8:B8"/>
    <mergeCell ref="C8:W8"/>
    <mergeCell ref="X8:Y8"/>
    <mergeCell ref="A9:B9"/>
    <mergeCell ref="C9:W9"/>
    <mergeCell ref="X9:Y9"/>
    <mergeCell ref="A10:B10"/>
    <mergeCell ref="C10:W10"/>
    <mergeCell ref="X10:Y10"/>
    <mergeCell ref="C16:W16"/>
    <mergeCell ref="X16:Y16"/>
    <mergeCell ref="A14:B14"/>
    <mergeCell ref="C14:W14"/>
    <mergeCell ref="X14:Y14"/>
    <mergeCell ref="A15:B15"/>
    <mergeCell ref="C15:W15"/>
    <mergeCell ref="X15:Y15"/>
    <mergeCell ref="A16:B16"/>
    <mergeCell ref="C19:W19"/>
    <mergeCell ref="X19:Y19"/>
    <mergeCell ref="A17:B17"/>
    <mergeCell ref="C17:W17"/>
    <mergeCell ref="X17:Y17"/>
    <mergeCell ref="A18:B18"/>
    <mergeCell ref="C18:W18"/>
    <mergeCell ref="X18:Y18"/>
    <mergeCell ref="A19:B19"/>
    <mergeCell ref="C22:W22"/>
    <mergeCell ref="X22:Y22"/>
    <mergeCell ref="A20:B20"/>
    <mergeCell ref="C20:W20"/>
    <mergeCell ref="X20:Y20"/>
    <mergeCell ref="A21:B21"/>
    <mergeCell ref="C21:W21"/>
    <mergeCell ref="X21:Y21"/>
    <mergeCell ref="A22:B22"/>
    <mergeCell ref="C25:W25"/>
    <mergeCell ref="X25:Y25"/>
    <mergeCell ref="A23:B23"/>
    <mergeCell ref="C23:W23"/>
    <mergeCell ref="X23:Y23"/>
    <mergeCell ref="A24:B24"/>
    <mergeCell ref="C24:W24"/>
    <mergeCell ref="X24:Y24"/>
    <mergeCell ref="A25:B25"/>
    <mergeCell ref="C28:W28"/>
    <mergeCell ref="X28:Y28"/>
    <mergeCell ref="A26:B26"/>
    <mergeCell ref="C26:W26"/>
    <mergeCell ref="X26:Y26"/>
    <mergeCell ref="A27:B27"/>
    <mergeCell ref="X27:Y27"/>
    <mergeCell ref="A28:B28"/>
    <mergeCell ref="C31:W31"/>
    <mergeCell ref="X31:Y31"/>
    <mergeCell ref="A29:B29"/>
    <mergeCell ref="C29:W29"/>
    <mergeCell ref="X29:Y29"/>
    <mergeCell ref="A30:B30"/>
    <mergeCell ref="C30:W30"/>
    <mergeCell ref="X30:Y30"/>
    <mergeCell ref="A31:B31"/>
    <mergeCell ref="A32:B32"/>
    <mergeCell ref="C32:W32"/>
    <mergeCell ref="X32:Y32"/>
    <mergeCell ref="A33:B33"/>
    <mergeCell ref="X33:Y33"/>
    <mergeCell ref="A34:B34"/>
    <mergeCell ref="X34:Y34"/>
  </mergeCells>
  <printOptions/>
  <pageMargins bottom="0.984251968503937" footer="0.0" header="0.0" left="0.3543307086614173" right="0.0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2.86"/>
    <col customWidth="1" min="17" max="20" width="4.14"/>
    <col customWidth="1" min="21" max="22" width="3.71"/>
    <col customWidth="1" min="23" max="28" width="4.14"/>
    <col customWidth="1" min="29" max="29" width="2.86"/>
    <col customWidth="1" min="30" max="30" width="8.71"/>
    <col customWidth="1" min="31" max="31" width="9.14"/>
    <col customWidth="1" min="32" max="32" width="8.14"/>
    <col customWidth="1" min="33" max="33" width="8.71"/>
    <col customWidth="1" min="34" max="34" width="6.14"/>
    <col customWidth="1" min="35" max="36" width="5.86"/>
    <col customWidth="1" min="37" max="37" width="5.0"/>
    <col customWidth="1" min="38" max="38" width="9.0"/>
  </cols>
  <sheetData>
    <row r="1" ht="13.5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>
        <v>45323.0</v>
      </c>
      <c r="T1" s="56"/>
      <c r="U1" s="56"/>
      <c r="V1" s="56"/>
      <c r="W1" s="56"/>
      <c r="X1" s="57"/>
      <c r="Y1" s="57"/>
      <c r="Z1" s="57"/>
      <c r="AA1" s="57"/>
      <c r="AB1" s="57"/>
      <c r="AC1" s="2"/>
      <c r="AD1" s="58"/>
      <c r="AE1" s="3"/>
      <c r="AF1" s="3"/>
      <c r="AG1" s="3"/>
      <c r="AH1" s="3"/>
      <c r="AI1" s="3"/>
      <c r="AJ1" s="3"/>
      <c r="AK1" s="3"/>
      <c r="AL1" s="59"/>
    </row>
    <row r="2" ht="13.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T2" s="56"/>
      <c r="U2" s="56"/>
      <c r="V2" s="56"/>
      <c r="W2" s="56"/>
      <c r="X2" s="57"/>
      <c r="Y2" s="57"/>
      <c r="Z2" s="57"/>
      <c r="AA2" s="57"/>
      <c r="AB2" s="57"/>
      <c r="AC2" s="2"/>
      <c r="AD2" s="2"/>
      <c r="AE2" s="2"/>
      <c r="AF2" s="3"/>
      <c r="AG2" s="3"/>
      <c r="AH2" s="3"/>
      <c r="AI2" s="3"/>
      <c r="AJ2" s="3"/>
      <c r="AK2" s="3"/>
      <c r="AL2" s="3"/>
    </row>
    <row r="3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"/>
      <c r="V3" s="3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36.0" customHeight="1">
      <c r="A4" s="5" t="s">
        <v>0</v>
      </c>
      <c r="B4" s="8"/>
      <c r="C4" s="8"/>
      <c r="D4" s="7"/>
      <c r="E4" s="8"/>
      <c r="F4" s="8"/>
      <c r="G4" s="8"/>
      <c r="H4" s="8"/>
      <c r="I4" s="8"/>
      <c r="J4" s="6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ht="13.5" customHeight="1">
      <c r="A5" s="60"/>
      <c r="F5" s="61"/>
      <c r="I5" s="62"/>
      <c r="J5" s="6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ht="25.5" customHeight="1">
      <c r="A7" s="5" t="s">
        <v>2</v>
      </c>
      <c r="B7" s="6"/>
      <c r="C7" s="10" t="s">
        <v>28</v>
      </c>
      <c r="D7" s="63" t="s">
        <v>3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9" t="s">
        <v>4</v>
      </c>
      <c r="AB7" s="6"/>
      <c r="AC7" s="2"/>
      <c r="AD7" s="62"/>
      <c r="AE7" s="62"/>
      <c r="AF7" s="62"/>
      <c r="AG7" s="62"/>
      <c r="AH7" s="65"/>
      <c r="AI7" s="2"/>
      <c r="AJ7" s="2"/>
      <c r="AK7" s="3"/>
      <c r="AL7" s="3"/>
    </row>
    <row r="8" ht="13.5" customHeight="1">
      <c r="A8" s="66">
        <f>M1</f>
        <v>45323</v>
      </c>
      <c r="B8" s="67">
        <f>M1</f>
        <v>45323</v>
      </c>
      <c r="C8" s="68">
        <f t="shared" ref="C8:C38" si="1">IF(B8="","",WEEKDAY(B8,1))</f>
        <v>5</v>
      </c>
      <c r="D8" s="69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1"/>
      <c r="AB8" s="72"/>
      <c r="AC8" s="73"/>
      <c r="AD8" s="2"/>
      <c r="AE8" s="74"/>
      <c r="AF8" s="75"/>
      <c r="AG8" s="76"/>
      <c r="AH8" s="76"/>
      <c r="AI8" s="76"/>
      <c r="AJ8" s="76"/>
      <c r="AK8" s="3"/>
      <c r="AL8" s="3"/>
    </row>
    <row r="9" ht="13.5" customHeight="1">
      <c r="A9" s="77"/>
      <c r="B9" s="78">
        <f t="shared" ref="B9:B35" si="2">B8+1</f>
        <v>45324</v>
      </c>
      <c r="C9" s="79">
        <f t="shared" si="1"/>
        <v>6</v>
      </c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2"/>
      <c r="AB9" s="83"/>
      <c r="AC9" s="73"/>
      <c r="AD9" s="35"/>
      <c r="AE9" s="74"/>
      <c r="AF9" s="75"/>
      <c r="AG9" s="76"/>
      <c r="AH9" s="76"/>
      <c r="AI9" s="76"/>
      <c r="AJ9" s="76"/>
      <c r="AK9" s="3"/>
      <c r="AL9" s="3"/>
    </row>
    <row r="10" ht="13.5" customHeight="1">
      <c r="A10" s="77"/>
      <c r="B10" s="78">
        <f t="shared" si="2"/>
        <v>45325</v>
      </c>
      <c r="C10" s="79">
        <f t="shared" si="1"/>
        <v>7</v>
      </c>
      <c r="D10" s="80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2"/>
      <c r="AB10" s="83"/>
      <c r="AC10" s="73"/>
      <c r="AD10" s="74"/>
      <c r="AE10" s="74"/>
      <c r="AF10" s="75"/>
      <c r="AG10" s="76"/>
      <c r="AH10" s="76"/>
      <c r="AI10" s="76"/>
      <c r="AJ10" s="76"/>
      <c r="AK10" s="3"/>
      <c r="AL10" s="3"/>
    </row>
    <row r="11" ht="13.5" customHeight="1">
      <c r="A11" s="77"/>
      <c r="B11" s="78">
        <f t="shared" si="2"/>
        <v>45326</v>
      </c>
      <c r="C11" s="79">
        <f t="shared" si="1"/>
        <v>1</v>
      </c>
      <c r="D11" s="80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2"/>
      <c r="AB11" s="83"/>
      <c r="AC11" s="73"/>
      <c r="AD11" s="74"/>
      <c r="AE11" s="74"/>
      <c r="AF11" s="75"/>
      <c r="AG11" s="76"/>
      <c r="AH11" s="76"/>
      <c r="AI11" s="76"/>
      <c r="AJ11" s="76"/>
      <c r="AK11" s="3"/>
      <c r="AL11" s="3"/>
    </row>
    <row r="12" ht="13.5" customHeight="1">
      <c r="A12" s="77"/>
      <c r="B12" s="78">
        <f t="shared" si="2"/>
        <v>45327</v>
      </c>
      <c r="C12" s="79">
        <f t="shared" si="1"/>
        <v>2</v>
      </c>
      <c r="D12" s="80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  <c r="AB12" s="83"/>
      <c r="AC12" s="73"/>
      <c r="AD12" s="74"/>
      <c r="AE12" s="74"/>
      <c r="AF12" s="75"/>
      <c r="AG12" s="76"/>
      <c r="AH12" s="76"/>
      <c r="AI12" s="76"/>
      <c r="AJ12" s="76"/>
      <c r="AK12" s="3"/>
      <c r="AL12" s="3"/>
    </row>
    <row r="13" ht="13.5" customHeight="1">
      <c r="A13" s="77"/>
      <c r="B13" s="78">
        <f t="shared" si="2"/>
        <v>45328</v>
      </c>
      <c r="C13" s="79">
        <f t="shared" si="1"/>
        <v>3</v>
      </c>
      <c r="D13" s="8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2"/>
      <c r="AB13" s="83"/>
      <c r="AC13" s="73"/>
      <c r="AD13" s="74"/>
      <c r="AE13" s="74"/>
      <c r="AF13" s="75"/>
      <c r="AG13" s="76"/>
      <c r="AH13" s="76"/>
      <c r="AI13" s="76"/>
      <c r="AJ13" s="76"/>
      <c r="AK13" s="3"/>
      <c r="AL13" s="3"/>
    </row>
    <row r="14" ht="13.5" customHeight="1">
      <c r="A14" s="77"/>
      <c r="B14" s="78">
        <f t="shared" si="2"/>
        <v>45329</v>
      </c>
      <c r="C14" s="79">
        <f t="shared" si="1"/>
        <v>4</v>
      </c>
      <c r="D14" s="80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2"/>
      <c r="AB14" s="83"/>
      <c r="AC14" s="73"/>
      <c r="AD14" s="74"/>
      <c r="AE14" s="74"/>
      <c r="AF14" s="75"/>
      <c r="AG14" s="76"/>
      <c r="AH14" s="76"/>
      <c r="AI14" s="76"/>
      <c r="AJ14" s="76"/>
      <c r="AK14" s="3"/>
      <c r="AL14" s="3"/>
    </row>
    <row r="15" ht="13.5" customHeight="1">
      <c r="A15" s="77"/>
      <c r="B15" s="78">
        <f t="shared" si="2"/>
        <v>45330</v>
      </c>
      <c r="C15" s="79">
        <f t="shared" si="1"/>
        <v>5</v>
      </c>
      <c r="D15" s="80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2"/>
      <c r="AB15" s="83"/>
      <c r="AC15" s="73"/>
      <c r="AD15" s="74"/>
      <c r="AE15" s="74"/>
      <c r="AF15" s="75"/>
      <c r="AG15" s="76"/>
      <c r="AH15" s="76"/>
      <c r="AI15" s="76"/>
      <c r="AJ15" s="76"/>
      <c r="AK15" s="3"/>
      <c r="AL15" s="3"/>
    </row>
    <row r="16" ht="13.5" customHeight="1">
      <c r="A16" s="77"/>
      <c r="B16" s="78">
        <f t="shared" si="2"/>
        <v>45331</v>
      </c>
      <c r="C16" s="79">
        <f t="shared" si="1"/>
        <v>6</v>
      </c>
      <c r="D16" s="80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2"/>
      <c r="AB16" s="83"/>
      <c r="AC16" s="73"/>
      <c r="AD16" s="74"/>
      <c r="AE16" s="74"/>
      <c r="AF16" s="75"/>
      <c r="AG16" s="76"/>
      <c r="AH16" s="76"/>
      <c r="AI16" s="76"/>
      <c r="AJ16" s="76"/>
      <c r="AK16" s="3"/>
      <c r="AL16" s="3"/>
    </row>
    <row r="17" ht="13.5" customHeight="1">
      <c r="A17" s="77"/>
      <c r="B17" s="78">
        <f t="shared" si="2"/>
        <v>45332</v>
      </c>
      <c r="C17" s="79">
        <f t="shared" si="1"/>
        <v>7</v>
      </c>
      <c r="D17" s="8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2"/>
      <c r="AB17" s="83"/>
      <c r="AC17" s="73"/>
      <c r="AD17" s="74"/>
      <c r="AE17" s="74"/>
      <c r="AF17" s="75"/>
      <c r="AG17" s="76"/>
      <c r="AH17" s="76"/>
      <c r="AI17" s="76"/>
      <c r="AJ17" s="76"/>
      <c r="AK17" s="3"/>
      <c r="AL17" s="3"/>
    </row>
    <row r="18" ht="13.5" customHeight="1">
      <c r="A18" s="77"/>
      <c r="B18" s="78">
        <f t="shared" si="2"/>
        <v>45333</v>
      </c>
      <c r="C18" s="79">
        <f t="shared" si="1"/>
        <v>1</v>
      </c>
      <c r="D18" s="80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2"/>
      <c r="AB18" s="83"/>
      <c r="AC18" s="73"/>
      <c r="AD18" s="74"/>
      <c r="AE18" s="74"/>
      <c r="AF18" s="75"/>
      <c r="AG18" s="76"/>
      <c r="AH18" s="76"/>
      <c r="AI18" s="76"/>
      <c r="AJ18" s="76"/>
      <c r="AK18" s="3"/>
      <c r="AL18" s="3"/>
    </row>
    <row r="19" ht="13.5" customHeight="1">
      <c r="A19" s="77"/>
      <c r="B19" s="78">
        <f t="shared" si="2"/>
        <v>45334</v>
      </c>
      <c r="C19" s="79">
        <f t="shared" si="1"/>
        <v>2</v>
      </c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2"/>
      <c r="AB19" s="83"/>
      <c r="AC19" s="73"/>
      <c r="AD19" s="74"/>
      <c r="AE19" s="74"/>
      <c r="AF19" s="75"/>
      <c r="AG19" s="76"/>
      <c r="AH19" s="76"/>
      <c r="AI19" s="76"/>
      <c r="AJ19" s="76"/>
      <c r="AK19" s="3"/>
      <c r="AL19" s="3"/>
    </row>
    <row r="20" ht="13.5" customHeight="1">
      <c r="A20" s="77"/>
      <c r="B20" s="78">
        <f t="shared" si="2"/>
        <v>45335</v>
      </c>
      <c r="C20" s="79">
        <f t="shared" si="1"/>
        <v>3</v>
      </c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2"/>
      <c r="AB20" s="83"/>
      <c r="AC20" s="73"/>
      <c r="AD20" s="74"/>
      <c r="AE20" s="74"/>
      <c r="AF20" s="75"/>
      <c r="AG20" s="76"/>
      <c r="AH20" s="76"/>
      <c r="AI20" s="76"/>
      <c r="AJ20" s="76"/>
      <c r="AK20" s="3"/>
      <c r="AL20" s="3"/>
    </row>
    <row r="21" ht="13.5" customHeight="1">
      <c r="A21" s="77"/>
      <c r="B21" s="78">
        <f t="shared" si="2"/>
        <v>45336</v>
      </c>
      <c r="C21" s="79">
        <f t="shared" si="1"/>
        <v>4</v>
      </c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2"/>
      <c r="AB21" s="83"/>
      <c r="AC21" s="73"/>
      <c r="AD21" s="74"/>
      <c r="AE21" s="74"/>
      <c r="AF21" s="75"/>
      <c r="AG21" s="76"/>
      <c r="AH21" s="76"/>
      <c r="AI21" s="76"/>
      <c r="AJ21" s="76"/>
      <c r="AK21" s="3"/>
      <c r="AL21" s="3"/>
    </row>
    <row r="22" ht="13.5" customHeight="1">
      <c r="A22" s="77"/>
      <c r="B22" s="78">
        <f t="shared" si="2"/>
        <v>45337</v>
      </c>
      <c r="C22" s="79">
        <f t="shared" si="1"/>
        <v>5</v>
      </c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2"/>
      <c r="AB22" s="83"/>
      <c r="AC22" s="73"/>
      <c r="AD22" s="74"/>
      <c r="AE22" s="74"/>
      <c r="AF22" s="75"/>
      <c r="AG22" s="76"/>
      <c r="AH22" s="76"/>
      <c r="AI22" s="76"/>
      <c r="AJ22" s="76"/>
      <c r="AK22" s="3"/>
      <c r="AL22" s="3"/>
    </row>
    <row r="23" ht="13.5" customHeight="1">
      <c r="A23" s="77"/>
      <c r="B23" s="78">
        <f t="shared" si="2"/>
        <v>45338</v>
      </c>
      <c r="C23" s="79">
        <f t="shared" si="1"/>
        <v>6</v>
      </c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2"/>
      <c r="AB23" s="83"/>
      <c r="AC23" s="73"/>
      <c r="AD23" s="74"/>
      <c r="AE23" s="74"/>
      <c r="AF23" s="75"/>
      <c r="AG23" s="76"/>
      <c r="AH23" s="76"/>
      <c r="AI23" s="76"/>
      <c r="AJ23" s="76"/>
      <c r="AK23" s="3"/>
      <c r="AL23" s="3"/>
    </row>
    <row r="24" ht="13.5" customHeight="1">
      <c r="A24" s="77"/>
      <c r="B24" s="78">
        <f t="shared" si="2"/>
        <v>45339</v>
      </c>
      <c r="C24" s="79">
        <f t="shared" si="1"/>
        <v>7</v>
      </c>
      <c r="D24" s="80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2"/>
      <c r="AB24" s="83"/>
      <c r="AC24" s="73"/>
      <c r="AD24" s="74"/>
      <c r="AE24" s="74"/>
      <c r="AF24" s="75"/>
      <c r="AG24" s="76"/>
      <c r="AH24" s="76"/>
      <c r="AI24" s="76"/>
      <c r="AJ24" s="76"/>
      <c r="AK24" s="3"/>
      <c r="AL24" s="3"/>
    </row>
    <row r="25" ht="13.5" customHeight="1">
      <c r="A25" s="77"/>
      <c r="B25" s="78">
        <f t="shared" si="2"/>
        <v>45340</v>
      </c>
      <c r="C25" s="79">
        <f t="shared" si="1"/>
        <v>1</v>
      </c>
      <c r="D25" s="8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2"/>
      <c r="AB25" s="83"/>
      <c r="AC25" s="73"/>
      <c r="AD25" s="74"/>
      <c r="AE25" s="74"/>
      <c r="AF25" s="75"/>
      <c r="AG25" s="76"/>
      <c r="AH25" s="76"/>
      <c r="AI25" s="76"/>
      <c r="AJ25" s="76"/>
      <c r="AK25" s="3"/>
      <c r="AL25" s="3"/>
    </row>
    <row r="26" ht="13.5" customHeight="1">
      <c r="A26" s="77"/>
      <c r="B26" s="78">
        <f t="shared" si="2"/>
        <v>45341</v>
      </c>
      <c r="C26" s="79">
        <f t="shared" si="1"/>
        <v>2</v>
      </c>
      <c r="D26" s="80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2"/>
      <c r="AB26" s="83"/>
      <c r="AC26" s="73"/>
      <c r="AD26" s="74"/>
      <c r="AE26" s="74"/>
      <c r="AF26" s="75"/>
      <c r="AG26" s="76"/>
      <c r="AH26" s="76"/>
      <c r="AI26" s="76"/>
      <c r="AJ26" s="76"/>
      <c r="AK26" s="3"/>
      <c r="AL26" s="3"/>
    </row>
    <row r="27" ht="13.5" customHeight="1">
      <c r="A27" s="77"/>
      <c r="B27" s="78">
        <f t="shared" si="2"/>
        <v>45342</v>
      </c>
      <c r="C27" s="79">
        <f t="shared" si="1"/>
        <v>3</v>
      </c>
      <c r="D27" s="8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2"/>
      <c r="AB27" s="83"/>
      <c r="AC27" s="73"/>
      <c r="AD27" s="74"/>
      <c r="AE27" s="74"/>
      <c r="AF27" s="75"/>
      <c r="AG27" s="76"/>
      <c r="AH27" s="76"/>
      <c r="AI27" s="76"/>
      <c r="AJ27" s="76"/>
      <c r="AK27" s="3"/>
      <c r="AL27" s="3"/>
    </row>
    <row r="28" ht="13.5" customHeight="1">
      <c r="A28" s="77"/>
      <c r="B28" s="78">
        <f t="shared" si="2"/>
        <v>45343</v>
      </c>
      <c r="C28" s="79">
        <f t="shared" si="1"/>
        <v>4</v>
      </c>
      <c r="D28" s="80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2"/>
      <c r="AB28" s="83"/>
      <c r="AC28" s="73"/>
      <c r="AD28" s="74"/>
      <c r="AE28" s="74"/>
      <c r="AF28" s="75"/>
      <c r="AG28" s="76"/>
      <c r="AH28" s="76"/>
      <c r="AI28" s="76"/>
      <c r="AJ28" s="76"/>
      <c r="AK28" s="3"/>
      <c r="AL28" s="3"/>
    </row>
    <row r="29" ht="13.5" customHeight="1">
      <c r="A29" s="77"/>
      <c r="B29" s="78">
        <f t="shared" si="2"/>
        <v>45344</v>
      </c>
      <c r="C29" s="79">
        <f t="shared" si="1"/>
        <v>5</v>
      </c>
      <c r="D29" s="8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2"/>
      <c r="AB29" s="83"/>
      <c r="AC29" s="73"/>
      <c r="AD29" s="74"/>
      <c r="AE29" s="74"/>
      <c r="AF29" s="75"/>
      <c r="AG29" s="76"/>
      <c r="AH29" s="76"/>
      <c r="AI29" s="76"/>
      <c r="AJ29" s="76"/>
      <c r="AK29" s="3"/>
      <c r="AL29" s="3"/>
    </row>
    <row r="30" ht="13.5" customHeight="1">
      <c r="A30" s="77"/>
      <c r="B30" s="78">
        <f t="shared" si="2"/>
        <v>45345</v>
      </c>
      <c r="C30" s="79">
        <f t="shared" si="1"/>
        <v>6</v>
      </c>
      <c r="D30" s="80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2"/>
      <c r="AB30" s="83"/>
      <c r="AC30" s="73"/>
      <c r="AD30" s="74"/>
      <c r="AE30" s="74"/>
      <c r="AF30" s="75"/>
      <c r="AG30" s="76"/>
      <c r="AH30" s="76"/>
      <c r="AI30" s="76"/>
      <c r="AJ30" s="76"/>
      <c r="AK30" s="3"/>
      <c r="AL30" s="3"/>
    </row>
    <row r="31" ht="13.5" customHeight="1">
      <c r="A31" s="77"/>
      <c r="B31" s="78">
        <f t="shared" si="2"/>
        <v>45346</v>
      </c>
      <c r="C31" s="79">
        <f t="shared" si="1"/>
        <v>7</v>
      </c>
      <c r="D31" s="8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2"/>
      <c r="AB31" s="83"/>
      <c r="AC31" s="73"/>
      <c r="AD31" s="74"/>
      <c r="AE31" s="74"/>
      <c r="AF31" s="75"/>
      <c r="AG31" s="76"/>
      <c r="AH31" s="76"/>
      <c r="AI31" s="76"/>
      <c r="AJ31" s="76"/>
      <c r="AK31" s="3"/>
      <c r="AL31" s="3"/>
    </row>
    <row r="32" ht="13.5" customHeight="1">
      <c r="A32" s="77"/>
      <c r="B32" s="78">
        <f t="shared" si="2"/>
        <v>45347</v>
      </c>
      <c r="C32" s="79">
        <f t="shared" si="1"/>
        <v>1</v>
      </c>
      <c r="D32" s="80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2"/>
      <c r="AB32" s="83"/>
      <c r="AC32" s="73"/>
      <c r="AD32" s="74"/>
      <c r="AE32" s="74"/>
      <c r="AF32" s="75"/>
      <c r="AG32" s="76"/>
      <c r="AH32" s="76"/>
      <c r="AI32" s="76"/>
      <c r="AJ32" s="76"/>
      <c r="AK32" s="3"/>
      <c r="AL32" s="3"/>
    </row>
    <row r="33" ht="13.5" customHeight="1">
      <c r="A33" s="77"/>
      <c r="B33" s="78">
        <f t="shared" si="2"/>
        <v>45348</v>
      </c>
      <c r="C33" s="79">
        <f t="shared" si="1"/>
        <v>2</v>
      </c>
      <c r="D33" s="8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2"/>
      <c r="AB33" s="83"/>
      <c r="AC33" s="73"/>
      <c r="AD33" s="74"/>
      <c r="AE33" s="74"/>
      <c r="AF33" s="75"/>
      <c r="AG33" s="76"/>
      <c r="AH33" s="76"/>
      <c r="AI33" s="76"/>
      <c r="AJ33" s="76"/>
      <c r="AK33" s="3"/>
      <c r="AL33" s="3"/>
    </row>
    <row r="34" ht="13.5" customHeight="1">
      <c r="A34" s="77"/>
      <c r="B34" s="78">
        <f t="shared" si="2"/>
        <v>45349</v>
      </c>
      <c r="C34" s="79">
        <f t="shared" si="1"/>
        <v>3</v>
      </c>
      <c r="D34" s="80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2"/>
      <c r="AB34" s="83"/>
      <c r="AC34" s="73"/>
      <c r="AD34" s="74"/>
      <c r="AE34" s="74"/>
      <c r="AF34" s="75"/>
      <c r="AG34" s="76"/>
      <c r="AH34" s="76"/>
      <c r="AI34" s="76"/>
      <c r="AJ34" s="76"/>
      <c r="AK34" s="3"/>
      <c r="AL34" s="3"/>
    </row>
    <row r="35" ht="13.5" customHeight="1">
      <c r="A35" s="77"/>
      <c r="B35" s="78">
        <f t="shared" si="2"/>
        <v>45350</v>
      </c>
      <c r="C35" s="79">
        <f t="shared" si="1"/>
        <v>4</v>
      </c>
      <c r="D35" s="8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2"/>
      <c r="AB35" s="83"/>
      <c r="AC35" s="73"/>
      <c r="AD35" s="74"/>
      <c r="AE35" s="74"/>
      <c r="AF35" s="75"/>
      <c r="AG35" s="76"/>
      <c r="AH35" s="76"/>
      <c r="AI35" s="76"/>
      <c r="AJ35" s="76"/>
      <c r="AK35" s="3"/>
      <c r="AL35" s="3"/>
    </row>
    <row r="36" ht="13.5" customHeight="1">
      <c r="A36" s="77"/>
      <c r="B36" s="78">
        <f t="shared" ref="B36:B38" si="3">IF($X$1=B35,"",IF(B35="","",B35+1))</f>
        <v>45351</v>
      </c>
      <c r="C36" s="79">
        <f t="shared" si="1"/>
        <v>5</v>
      </c>
      <c r="D36" s="80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2"/>
      <c r="AB36" s="83"/>
      <c r="AC36" s="73"/>
      <c r="AD36" s="74"/>
      <c r="AE36" s="74"/>
      <c r="AF36" s="75"/>
      <c r="AG36" s="76"/>
      <c r="AH36" s="76"/>
      <c r="AI36" s="76"/>
      <c r="AJ36" s="76"/>
      <c r="AK36" s="3"/>
      <c r="AL36" s="3"/>
    </row>
    <row r="37" ht="13.5" customHeight="1">
      <c r="A37" s="77"/>
      <c r="B37" s="78">
        <f t="shared" si="3"/>
        <v>45352</v>
      </c>
      <c r="C37" s="79">
        <f t="shared" si="1"/>
        <v>6</v>
      </c>
      <c r="D37" s="8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2"/>
      <c r="AB37" s="83"/>
      <c r="AC37" s="73"/>
      <c r="AD37" s="74"/>
      <c r="AE37" s="74"/>
      <c r="AF37" s="75"/>
      <c r="AG37" s="76"/>
      <c r="AH37" s="76"/>
      <c r="AI37" s="76"/>
      <c r="AJ37" s="76"/>
      <c r="AK37" s="3"/>
      <c r="AL37" s="3"/>
    </row>
    <row r="38" ht="13.5" customHeight="1">
      <c r="A38" s="84"/>
      <c r="B38" s="85">
        <f t="shared" si="3"/>
        <v>45353</v>
      </c>
      <c r="C38" s="86">
        <f t="shared" si="1"/>
        <v>7</v>
      </c>
      <c r="D38" s="87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9"/>
      <c r="AB38" s="90"/>
      <c r="AC38" s="73"/>
      <c r="AD38" s="74"/>
      <c r="AE38" s="74"/>
      <c r="AF38" s="75"/>
      <c r="AG38" s="76"/>
      <c r="AH38" s="76"/>
      <c r="AI38" s="76"/>
      <c r="AJ38" s="76"/>
      <c r="AK38" s="3"/>
      <c r="AL38" s="3"/>
    </row>
    <row r="39" ht="25.5" customHeight="1">
      <c r="A39" s="2"/>
      <c r="B39" s="2"/>
      <c r="C39" s="2"/>
      <c r="D39" s="2"/>
      <c r="E39" s="35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91"/>
      <c r="V39" s="91"/>
      <c r="W39" s="91"/>
      <c r="X39" s="92"/>
      <c r="Y39" s="92"/>
      <c r="Z39" s="92"/>
      <c r="AA39" s="93" t="s">
        <v>29</v>
      </c>
      <c r="AB39" s="15"/>
      <c r="AC39" s="2"/>
      <c r="AD39" s="35"/>
      <c r="AE39" s="3"/>
      <c r="AF39" s="3"/>
      <c r="AG39" s="3"/>
      <c r="AH39" s="3"/>
      <c r="AI39" s="3"/>
      <c r="AJ39" s="3"/>
      <c r="AK39" s="3"/>
      <c r="AL39" s="3"/>
    </row>
    <row r="40" ht="24.75" customHeight="1">
      <c r="A40" s="94"/>
      <c r="B40" s="94"/>
      <c r="C40" s="94"/>
      <c r="D40" s="2"/>
      <c r="E40" s="35"/>
      <c r="F40" s="3"/>
      <c r="G40" s="3"/>
      <c r="H40" s="95"/>
      <c r="J40" s="96"/>
      <c r="K40" s="96"/>
      <c r="L40" s="96"/>
      <c r="M40" s="2"/>
      <c r="N40" s="2"/>
      <c r="O40" s="2"/>
      <c r="P40" s="2"/>
      <c r="Q40" s="2"/>
      <c r="R40" s="2"/>
      <c r="S40" s="2"/>
      <c r="T40" s="2"/>
      <c r="U40" s="2"/>
      <c r="V40" s="91"/>
      <c r="W40" s="91"/>
      <c r="X40" s="92"/>
      <c r="Y40" s="92"/>
      <c r="Z40" s="92"/>
      <c r="AA40" s="97">
        <f>SUM(AA8:AB38)</f>
        <v>0</v>
      </c>
      <c r="AB40" s="6"/>
      <c r="AC40" s="2"/>
      <c r="AD40" s="35"/>
      <c r="AE40" s="3"/>
      <c r="AF40" s="3"/>
      <c r="AG40" s="3"/>
      <c r="AH40" s="3"/>
      <c r="AI40" s="3"/>
      <c r="AJ40" s="3"/>
      <c r="AK40" s="3"/>
      <c r="AL40" s="3"/>
    </row>
    <row r="41" ht="13.5" customHeight="1">
      <c r="A41" s="98"/>
      <c r="AB41" s="99"/>
      <c r="AC41" s="2"/>
      <c r="AD41" s="2"/>
      <c r="AE41" s="3"/>
      <c r="AF41" s="3"/>
      <c r="AG41" s="3"/>
      <c r="AH41" s="3"/>
      <c r="AI41" s="3"/>
      <c r="AJ41" s="3"/>
      <c r="AK41" s="3"/>
      <c r="AL41" s="3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3"/>
      <c r="AG42" s="3"/>
      <c r="AH42" s="3"/>
      <c r="AI42" s="3"/>
      <c r="AJ42" s="3"/>
      <c r="AK42" s="3"/>
      <c r="AL42" s="3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3"/>
      <c r="AF43" s="3"/>
      <c r="AG43" s="3"/>
      <c r="AH43" s="3"/>
      <c r="AI43" s="3"/>
      <c r="AJ43" s="3"/>
      <c r="AK43" s="3"/>
      <c r="AL43" s="3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3"/>
      <c r="AF44" s="3"/>
      <c r="AG44" s="3"/>
      <c r="AH44" s="3"/>
      <c r="AI44" s="3"/>
      <c r="AJ44" s="3"/>
      <c r="AK44" s="3"/>
      <c r="AL44" s="3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3"/>
      <c r="AF45" s="3"/>
      <c r="AG45" s="3"/>
      <c r="AH45" s="3"/>
      <c r="AI45" s="3"/>
      <c r="AJ45" s="3"/>
      <c r="AK45" s="3"/>
      <c r="AL45" s="3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3"/>
      <c r="AF46" s="3"/>
      <c r="AG46" s="3"/>
      <c r="AH46" s="3"/>
      <c r="AI46" s="3"/>
      <c r="AJ46" s="3"/>
      <c r="AK46" s="3"/>
      <c r="AL46" s="3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3"/>
      <c r="AF47" s="3"/>
      <c r="AG47" s="3"/>
      <c r="AH47" s="3"/>
      <c r="AI47" s="3"/>
      <c r="AJ47" s="3"/>
      <c r="AK47" s="3"/>
      <c r="AL47" s="3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3"/>
      <c r="AF48" s="3"/>
      <c r="AG48" s="3"/>
      <c r="AH48" s="3"/>
      <c r="AI48" s="3"/>
      <c r="AJ48" s="3"/>
      <c r="AK48" s="3"/>
      <c r="AL48" s="3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3"/>
      <c r="AF49" s="3"/>
      <c r="AG49" s="3"/>
      <c r="AH49" s="3"/>
      <c r="AI49" s="3"/>
      <c r="AJ49" s="3"/>
      <c r="AK49" s="3"/>
      <c r="AL49" s="3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3"/>
      <c r="AF50" s="3"/>
      <c r="AG50" s="3"/>
      <c r="AH50" s="3"/>
      <c r="AI50" s="3"/>
      <c r="AJ50" s="3"/>
      <c r="AK50" s="3"/>
      <c r="AL50" s="3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3"/>
      <c r="AF51" s="3"/>
      <c r="AG51" s="3"/>
      <c r="AH51" s="3"/>
      <c r="AI51" s="3"/>
      <c r="AJ51" s="3"/>
      <c r="AK51" s="3"/>
      <c r="AL51" s="3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3"/>
      <c r="AF52" s="3"/>
      <c r="AG52" s="3"/>
      <c r="AH52" s="3"/>
      <c r="AI52" s="3"/>
      <c r="AJ52" s="3"/>
      <c r="AK52" s="3"/>
      <c r="AL52" s="3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3"/>
      <c r="AF53" s="3"/>
      <c r="AG53" s="3"/>
      <c r="AH53" s="3"/>
      <c r="AI53" s="3"/>
      <c r="AJ53" s="3"/>
      <c r="AK53" s="3"/>
      <c r="AL53" s="3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3"/>
      <c r="AF54" s="3"/>
      <c r="AG54" s="3"/>
      <c r="AH54" s="3"/>
      <c r="AI54" s="3"/>
      <c r="AJ54" s="3"/>
      <c r="AK54" s="3"/>
      <c r="AL54" s="3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3"/>
      <c r="AF55" s="3"/>
      <c r="AG55" s="3"/>
      <c r="AH55" s="3"/>
      <c r="AI55" s="3"/>
      <c r="AJ55" s="3"/>
      <c r="AK55" s="3"/>
      <c r="AL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75">
    <mergeCell ref="D28:Z28"/>
    <mergeCell ref="AA28:AB28"/>
    <mergeCell ref="D29:Z29"/>
    <mergeCell ref="AA29:AB29"/>
    <mergeCell ref="D30:Z30"/>
    <mergeCell ref="AA30:AB30"/>
    <mergeCell ref="AA31:AB31"/>
    <mergeCell ref="D31:Z31"/>
    <mergeCell ref="D32:Z32"/>
    <mergeCell ref="AA32:AB32"/>
    <mergeCell ref="D33:Z33"/>
    <mergeCell ref="AA33:AB33"/>
    <mergeCell ref="D34:Z34"/>
    <mergeCell ref="AA34:AB34"/>
    <mergeCell ref="AA38:AB38"/>
    <mergeCell ref="AA39:AB39"/>
    <mergeCell ref="AA37:AB37"/>
    <mergeCell ref="AA40:AB40"/>
    <mergeCell ref="D35:Z35"/>
    <mergeCell ref="AA35:AB35"/>
    <mergeCell ref="D36:Z36"/>
    <mergeCell ref="AA36:AB36"/>
    <mergeCell ref="D37:Z37"/>
    <mergeCell ref="D38:Z38"/>
    <mergeCell ref="H40:I40"/>
    <mergeCell ref="A41:AB41"/>
    <mergeCell ref="M1:S2"/>
    <mergeCell ref="A4:C4"/>
    <mergeCell ref="D4:J4"/>
    <mergeCell ref="A5:E5"/>
    <mergeCell ref="F5:H5"/>
    <mergeCell ref="J5:L5"/>
    <mergeCell ref="A7:B7"/>
    <mergeCell ref="D7:Z7"/>
    <mergeCell ref="AA7:AB7"/>
    <mergeCell ref="D8:Z8"/>
    <mergeCell ref="AA8:AB8"/>
    <mergeCell ref="D9:Z9"/>
    <mergeCell ref="AA9:AB9"/>
    <mergeCell ref="AA10:AB10"/>
    <mergeCell ref="D10:Z10"/>
    <mergeCell ref="D11:Z11"/>
    <mergeCell ref="AA11:AB11"/>
    <mergeCell ref="D12:Z12"/>
    <mergeCell ref="AA12:AB12"/>
    <mergeCell ref="D13:Z13"/>
    <mergeCell ref="AA13:AB13"/>
    <mergeCell ref="D14:Z14"/>
    <mergeCell ref="AA14:AB14"/>
    <mergeCell ref="D15:Z15"/>
    <mergeCell ref="AA15:AB15"/>
    <mergeCell ref="D16:Z16"/>
    <mergeCell ref="AA16:AB16"/>
    <mergeCell ref="AA17:AB17"/>
    <mergeCell ref="D17:Z17"/>
    <mergeCell ref="D18:Z18"/>
    <mergeCell ref="AA18:AB18"/>
    <mergeCell ref="D19:Z19"/>
    <mergeCell ref="AA19:AB19"/>
    <mergeCell ref="D20:Z20"/>
    <mergeCell ref="AA20:AB20"/>
    <mergeCell ref="D21:Z21"/>
    <mergeCell ref="AA21:AB21"/>
    <mergeCell ref="D22:Z22"/>
    <mergeCell ref="AA22:AB22"/>
    <mergeCell ref="D23:Z23"/>
    <mergeCell ref="AA23:AB23"/>
    <mergeCell ref="AA24:AB24"/>
    <mergeCell ref="D24:Z24"/>
    <mergeCell ref="D25:Z25"/>
    <mergeCell ref="AA25:AB25"/>
    <mergeCell ref="D26:Z26"/>
    <mergeCell ref="AA26:AB26"/>
    <mergeCell ref="D27:Z27"/>
    <mergeCell ref="AA27:AB27"/>
  </mergeCells>
  <conditionalFormatting sqref="B8:C38">
    <cfRule type="expression" dxfId="0" priority="1">
      <formula>COUNTIF(#REF!,"1")</formula>
    </cfRule>
  </conditionalFormatting>
  <conditionalFormatting sqref="C8:C38">
    <cfRule type="cellIs" dxfId="0" priority="2" operator="equal">
      <formula>7</formula>
    </cfRule>
  </conditionalFormatting>
  <conditionalFormatting sqref="C8:C38">
    <cfRule type="cellIs" dxfId="0" priority="3" operator="equal">
      <formula>1</formula>
    </cfRule>
  </conditionalFormatting>
  <printOptions/>
  <pageMargins bottom="0.984251968503937" footer="0.0" header="0.0" left="0.5511811023622047" right="0.1968503937007874" top="0.984251968503937"/>
  <pageSetup paperSize="9" scale="95" orientation="portrait"/>
  <drawing r:id="rId2"/>
  <legacyDrawing r:id="rId3"/>
</worksheet>
</file>